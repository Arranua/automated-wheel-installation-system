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venous Hydra\Documents\"/>
    </mc:Choice>
  </mc:AlternateContent>
  <xr:revisionPtr revIDLastSave="0" documentId="8_{7A727AF8-803A-4C6F-8364-CA4BE2BB2A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M" sheetId="1" r:id="rId1"/>
  </sheets>
  <calcPr calcId="191029"/>
</workbook>
</file>

<file path=xl/calcChain.xml><?xml version="1.0" encoding="utf-8"?>
<calcChain xmlns="http://schemas.openxmlformats.org/spreadsheetml/2006/main">
  <c r="G40" i="1" l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42" i="1" l="1"/>
</calcChain>
</file>

<file path=xl/sharedStrings.xml><?xml version="1.0" encoding="utf-8"?>
<sst xmlns="http://schemas.openxmlformats.org/spreadsheetml/2006/main" count="113" uniqueCount="104">
  <si>
    <t>Bill of Materials (BOM)</t>
  </si>
  <si>
    <t>Item</t>
  </si>
  <si>
    <t>Component</t>
  </si>
  <si>
    <t>Specification / Model</t>
  </si>
  <si>
    <t>Qty</t>
  </si>
  <si>
    <t>Supplier / Link</t>
  </si>
  <si>
    <t>Unit Cost</t>
  </si>
  <si>
    <t>Total Cost</t>
  </si>
  <si>
    <t>ESP32-WROOM microcontroller</t>
  </si>
  <si>
    <t>30/38 pin</t>
  </si>
  <si>
    <t>ESP32-WROOM breakout board</t>
  </si>
  <si>
    <t>24VDC power supply</t>
  </si>
  <si>
    <t>24V, 10A</t>
  </si>
  <si>
    <t>Stranded wire</t>
  </si>
  <si>
    <t>22 AWG, 100 ft</t>
  </si>
  <si>
    <t>18 AWG, 100 ft</t>
  </si>
  <si>
    <t>Terminal blocks / power distributors</t>
  </si>
  <si>
    <t>CLICK PLUS PLC with input/output modules</t>
  </si>
  <si>
    <t>Step-down buck converter</t>
  </si>
  <si>
    <t>24V to 5V</t>
  </si>
  <si>
    <t>Ferrules</t>
  </si>
  <si>
    <t>18 AWG, pack of 100</t>
  </si>
  <si>
    <t>22 AWG, pack of 100</t>
  </si>
  <si>
    <t>Spade/fork connectors</t>
  </si>
  <si>
    <t>18–22 AWG, pack of 100</t>
  </si>
  <si>
    <t>Plastic cable duct with cover</t>
  </si>
  <si>
    <t>Relay board</t>
  </si>
  <si>
    <t>8-position, 24V coil/input</t>
  </si>
  <si>
    <t>Stepper motor driver</t>
  </si>
  <si>
    <t>TB6600</t>
  </si>
  <si>
    <t>Stepper motor</t>
  </si>
  <si>
    <t>NEMA 17</t>
  </si>
  <si>
    <t>Servo motor</t>
  </si>
  <si>
    <t>MG90S</t>
  </si>
  <si>
    <t>Limit switch</t>
  </si>
  <si>
    <t>Lead screw</t>
  </si>
  <si>
    <t>T8, 400 mm</t>
  </si>
  <si>
    <t>T8, 150 mm</t>
  </si>
  <si>
    <t>Timing belt</t>
  </si>
  <si>
    <t>2GT, 400 mm</t>
  </si>
  <si>
    <t>Inline fuse holder</t>
  </si>
  <si>
    <t>12 AWG</t>
  </si>
  <si>
    <t>Inline fuse</t>
  </si>
  <si>
    <t>10A</t>
  </si>
  <si>
    <t>Solenoid</t>
  </si>
  <si>
    <t>24V, 0.4A, push-pull type</t>
  </si>
  <si>
    <t>Linear guide rail block</t>
  </si>
  <si>
    <t>SCS8UU</t>
  </si>
  <si>
    <t>Steel shaft guide</t>
  </si>
  <si>
    <t>8 mm × 400 mm</t>
  </si>
  <si>
    <t>Linear bearing / 3D printer wheel</t>
  </si>
  <si>
    <t>625ZZ</t>
  </si>
  <si>
    <t>Flexible shaft coupling</t>
  </si>
  <si>
    <t>5 mm to 8 mm</t>
  </si>
  <si>
    <t>Aluminum extrusion</t>
  </si>
  <si>
    <t>2020 V-slot, 400 mm</t>
  </si>
  <si>
    <t>Machine screw</t>
  </si>
  <si>
    <t>M3 × 16 mm, pack of 100</t>
  </si>
  <si>
    <t>Nut</t>
  </si>
  <si>
    <t>M3, pack of 100</t>
  </si>
  <si>
    <t>M5 × 16 mm, pack of 100</t>
  </si>
  <si>
    <t>M5, pack of 100</t>
  </si>
  <si>
    <t>M4 × 12 mm, pack of 30</t>
  </si>
  <si>
    <t>Grand Total</t>
  </si>
  <si>
    <t>Capacitive Sensor</t>
  </si>
  <si>
    <t>Photoelectric Sensor, Diffuse</t>
  </si>
  <si>
    <t>Photoelectric Sensor, Retro-reflective</t>
  </si>
  <si>
    <t>DC6-36V</t>
  </si>
  <si>
    <t>https://www.amazon.ca/dp/B07TJHDXP6</t>
  </si>
  <si>
    <t>https://www.amazon.ca/Heschen-capacitive-proximity-LJC18A3-H-Z-detector</t>
  </si>
  <si>
    <t>LJC18A3-H-Z/BY</t>
  </si>
  <si>
    <t>https://www.amazon.ca/dp/B09LCNBX6S</t>
  </si>
  <si>
    <t>E3F-R2NK</t>
  </si>
  <si>
    <t>https://www.amazon.ca/dp/B0981YNCNC</t>
  </si>
  <si>
    <t>https://www.amazon.ca/dp/B0D2L5GP1M</t>
  </si>
  <si>
    <t>https://www.amazon.ca/dp/B0B1Q51G8L</t>
  </si>
  <si>
    <t>https://www.amazon.ca/dp/B0BJVDYRCG</t>
  </si>
  <si>
    <t>https://www.amazon.ca/dp/B07Q5WN3GK</t>
  </si>
  <si>
    <t>https://www.amazon.ca/dp/B0BWJ26PX2</t>
  </si>
  <si>
    <t>https://www.amazon.ca/dp/B0CXXP7RHP</t>
  </si>
  <si>
    <t>https://www.amazon.ca/Insulated-Ferrules-Terminal-Connectors-Terminals/dp/B0DQLRQQZ9</t>
  </si>
  <si>
    <t>https://shop.sayal.com/products/gqta-2338-100</t>
  </si>
  <si>
    <t>https://www.amazon.ca/Baomain-Insulated-Terminal-22-18-Gauge/dp/B01B17DL0G</t>
  </si>
  <si>
    <t>https://secure.sayal.com/STORE4/prodetails.php?SKU=239863</t>
  </si>
  <si>
    <t>4mm</t>
  </si>
  <si>
    <t>https://www.amazon.ca/Relay-Module-Trigger-Channel-Optocoupler/dp/B08Y76VMWZ</t>
  </si>
  <si>
    <t>https://www.automationdirect.com/clickplcs/clickplus</t>
  </si>
  <si>
    <t>https://www.amazon.ca/dp/B0B19ZYY6R</t>
  </si>
  <si>
    <t>https://www.amazon.ca/Baomain-Switch-TM-1703-Roller-Terminals/dp/B01HKVDL2U</t>
  </si>
  <si>
    <t>https://www.amazon.ca/dp/B0FZB9GV1C</t>
  </si>
  <si>
    <t>https://www.amazon.ca/dp/B0CMSW82FX</t>
  </si>
  <si>
    <t>https://www.amazon.ca/dp/B0DQCXNB5S</t>
  </si>
  <si>
    <t>https://www.amazon.ca/dp/B07PCSP3KZ</t>
  </si>
  <si>
    <t>https://www.amazon.ca/dp/B0B7DXYFZ5</t>
  </si>
  <si>
    <t>https://www.amazon.ca/dp/B0B9HYHCT9</t>
  </si>
  <si>
    <t>https://www.amazon.ca/dp/B0F8W1L1T8</t>
  </si>
  <si>
    <t>https://www.amazon.ca/dp/B0D9PVKYP9</t>
  </si>
  <si>
    <t>https://www.amazon.ca/dp/B0D9PX9R2H</t>
  </si>
  <si>
    <t>https://www.amazon.ca/LEONTOOL-Inserted-Assortment-Stainless-Clinching/dp/B0BMX3F4P3</t>
  </si>
  <si>
    <t>https://www.amazon.ca/dp/B0BYS6THLF</t>
  </si>
  <si>
    <t>https://www.amazon.ca/dp/B0C9VSYS4N</t>
  </si>
  <si>
    <t>https://www.amazon.ca/Redrex-Universal-Regulated-Switching-Temperature-Controlled/dp/B0816LK4H2</t>
  </si>
  <si>
    <t>https://www.amazon.ca/BNTECHGO-Silicone-Flexible-Stranded-Impedance/dp/B01K4RPAZ8</t>
  </si>
  <si>
    <t>https://www.amazon.ca/VIABRICO-Electrical-Stranded-Voltage-Extension/dp/B08D6VND2B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</si>
</sst>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5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b/>
      <sz val="11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3" fillId="4" borderId="0" xfId="0" applyNumberFormat="1" applyFont="1" applyFill="1" applyAlignment="1">
      <alignment wrapText="1"/>
    </xf>
    <xf numFmtId="0" fontId="1" fillId="2" borderId="0" xfId="0" applyFont="1" applyFill="1" applyAlignment="1">
      <alignment horizontal="center" vertical="center"/>
    </xf>
    <xf numFmtId="0" fontId="4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Table" displayName="BOMTable" ref="A2:G35">
  <tableColumns count="7">
    <tableColumn id="1" xr3:uid="{00000000-0010-0000-0000-000001000000}" name="Item"/>
    <tableColumn id="2" xr3:uid="{00000000-0010-0000-0000-000002000000}" name="Component"/>
    <tableColumn id="3" xr3:uid="{00000000-0010-0000-0000-000003000000}" name="Specification / Model"/>
    <tableColumn id="4" xr3:uid="{00000000-0010-0000-0000-000004000000}" name="Qty"/>
    <tableColumn id="5" xr3:uid="{00000000-0010-0000-0000-000005000000}" name="Supplier / Link"/>
    <tableColumn id="6" xr3:uid="{00000000-0010-0000-0000-000006000000}" name="Unit Cost"/>
    <tableColumn id="7" xr3:uid="{00000000-0010-0000-0000-000007000000}" name="Total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a/LEONTOOL-Inserted-Assortment-Stainless-Clinching/dp/B0BMX3F4P3" TargetMode="External"/><Relationship Id="rId3" Type="http://schemas.openxmlformats.org/officeDocument/2006/relationships/hyperlink" Target="https://www.amazon.ca/dp/B0D2L5GP1M" TargetMode="External"/><Relationship Id="rId7" Type="http://schemas.openxmlformats.org/officeDocument/2006/relationships/hyperlink" Target="https://www.amazon.ca/dp/B0D9PX9R2H" TargetMode="External"/><Relationship Id="rId2" Type="http://schemas.openxmlformats.org/officeDocument/2006/relationships/hyperlink" Target="https://www.amazon.ca/dp/B0981YNCNC" TargetMode="External"/><Relationship Id="rId1" Type="http://schemas.openxmlformats.org/officeDocument/2006/relationships/hyperlink" Target="https://www.amazon.ca/Heschen-capacitive-proximity-LJC18A3-H-Z-detector" TargetMode="External"/><Relationship Id="rId6" Type="http://schemas.openxmlformats.org/officeDocument/2006/relationships/hyperlink" Target="https://www.amazon.ca/Baomain-Switch-TM-1703-Roller-Terminals/dp/B01HKVDL2U" TargetMode="External"/><Relationship Id="rId5" Type="http://schemas.openxmlformats.org/officeDocument/2006/relationships/hyperlink" Target="https://www.amazon.ca/dp/B0BJVDYRCG" TargetMode="External"/><Relationship Id="rId4" Type="http://schemas.openxmlformats.org/officeDocument/2006/relationships/hyperlink" Target="https://www.amazon.ca/dp/B0BJVDYRCG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34" workbookViewId="0">
      <selection activeCell="H8" sqref="H8"/>
    </sheetView>
  </sheetViews>
  <sheetFormatPr defaultRowHeight="14"/>
  <cols>
    <col min="1" max="1" width="8" customWidth="1"/>
    <col min="2" max="2" width="34" customWidth="1"/>
    <col min="3" max="3" width="30" customWidth="1"/>
    <col min="4" max="4" width="8" customWidth="1"/>
    <col min="5" max="5" width="36" customWidth="1"/>
    <col min="6" max="7" width="12" customWidth="1"/>
  </cols>
  <sheetData>
    <row r="1" spans="1:7" ht="17.399999999999999" customHeight="1">
      <c r="A1" s="6" t="s">
        <v>0</v>
      </c>
      <c r="B1" s="6"/>
      <c r="C1" s="6"/>
      <c r="D1" s="6"/>
      <c r="E1" s="6"/>
      <c r="F1" s="6"/>
      <c r="G1" s="6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2">
        <v>1</v>
      </c>
      <c r="B3" s="3" t="s">
        <v>8</v>
      </c>
      <c r="C3" s="3" t="s">
        <v>9</v>
      </c>
      <c r="D3" s="2">
        <v>3</v>
      </c>
      <c r="E3" s="3" t="s">
        <v>100</v>
      </c>
      <c r="F3" s="4">
        <v>13</v>
      </c>
      <c r="G3" s="4">
        <f t="shared" ref="G3:G35" si="0">D3*F3</f>
        <v>39</v>
      </c>
    </row>
    <row r="4" spans="1:7">
      <c r="A4" s="2">
        <v>2</v>
      </c>
      <c r="B4" s="3" t="s">
        <v>10</v>
      </c>
      <c r="C4" s="3"/>
      <c r="D4" s="2">
        <v>3</v>
      </c>
      <c r="E4" s="3" t="s">
        <v>99</v>
      </c>
      <c r="F4" s="4">
        <v>14</v>
      </c>
      <c r="G4" s="4">
        <f t="shared" si="0"/>
        <v>42</v>
      </c>
    </row>
    <row r="5" spans="1:7" ht="42">
      <c r="A5" s="2">
        <v>3</v>
      </c>
      <c r="B5" s="3" t="s">
        <v>11</v>
      </c>
      <c r="C5" s="3" t="s">
        <v>12</v>
      </c>
      <c r="D5" s="2">
        <v>1</v>
      </c>
      <c r="E5" s="3" t="s">
        <v>101</v>
      </c>
      <c r="F5" s="4">
        <v>24</v>
      </c>
      <c r="G5" s="4">
        <f t="shared" si="0"/>
        <v>24</v>
      </c>
    </row>
    <row r="6" spans="1:7" ht="42">
      <c r="A6" s="2">
        <v>4</v>
      </c>
      <c r="B6" s="3" t="s">
        <v>13</v>
      </c>
      <c r="C6" s="3" t="s">
        <v>14</v>
      </c>
      <c r="D6" s="2">
        <v>1</v>
      </c>
      <c r="E6" s="3" t="s">
        <v>102</v>
      </c>
      <c r="F6" s="4">
        <v>15</v>
      </c>
      <c r="G6" s="4">
        <f t="shared" si="0"/>
        <v>15</v>
      </c>
    </row>
    <row r="7" spans="1:7">
      <c r="A7" s="2">
        <v>5</v>
      </c>
      <c r="B7" s="3" t="s">
        <v>13</v>
      </c>
      <c r="C7" s="3" t="s">
        <v>15</v>
      </c>
      <c r="D7" s="2">
        <v>1</v>
      </c>
      <c r="E7" s="3" t="s">
        <v>103</v>
      </c>
      <c r="F7" s="4">
        <v>15</v>
      </c>
      <c r="G7" s="4">
        <f t="shared" si="0"/>
        <v>15</v>
      </c>
    </row>
    <row r="8" spans="1:7">
      <c r="A8" s="2">
        <v>6</v>
      </c>
      <c r="B8" s="3" t="s">
        <v>16</v>
      </c>
      <c r="C8" s="3"/>
      <c r="D8" s="2">
        <v>8</v>
      </c>
      <c r="E8" s="3" t="s">
        <v>87</v>
      </c>
      <c r="F8" s="4">
        <v>7</v>
      </c>
      <c r="G8" s="4">
        <f t="shared" si="0"/>
        <v>56</v>
      </c>
    </row>
    <row r="9" spans="1:7" ht="28">
      <c r="A9" s="2">
        <v>7</v>
      </c>
      <c r="B9" s="3" t="s">
        <v>17</v>
      </c>
      <c r="C9" s="3"/>
      <c r="D9" s="2">
        <v>1</v>
      </c>
      <c r="E9" s="3" t="s">
        <v>86</v>
      </c>
      <c r="F9" s="4">
        <v>400</v>
      </c>
      <c r="G9" s="4">
        <f t="shared" si="0"/>
        <v>400</v>
      </c>
    </row>
    <row r="10" spans="1:7">
      <c r="A10" s="2">
        <v>8</v>
      </c>
      <c r="B10" s="3" t="s">
        <v>18</v>
      </c>
      <c r="C10" s="3" t="s">
        <v>19</v>
      </c>
      <c r="D10" s="2">
        <v>2</v>
      </c>
      <c r="E10" s="3" t="s">
        <v>79</v>
      </c>
      <c r="F10" s="4">
        <v>8.5</v>
      </c>
      <c r="G10" s="4">
        <f t="shared" si="0"/>
        <v>17</v>
      </c>
    </row>
    <row r="11" spans="1:7" ht="42">
      <c r="A11" s="2">
        <v>9</v>
      </c>
      <c r="B11" s="3" t="s">
        <v>20</v>
      </c>
      <c r="C11" s="3" t="s">
        <v>21</v>
      </c>
      <c r="D11" s="2">
        <v>1</v>
      </c>
      <c r="E11" s="3" t="s">
        <v>80</v>
      </c>
      <c r="F11" s="4">
        <v>16.37</v>
      </c>
      <c r="G11" s="4">
        <f t="shared" si="0"/>
        <v>16.37</v>
      </c>
    </row>
    <row r="12" spans="1:7" ht="28">
      <c r="A12" s="2">
        <v>10</v>
      </c>
      <c r="B12" s="3" t="s">
        <v>20</v>
      </c>
      <c r="C12" s="3" t="s">
        <v>22</v>
      </c>
      <c r="D12" s="2">
        <v>1</v>
      </c>
      <c r="E12" s="3" t="s">
        <v>81</v>
      </c>
      <c r="F12" s="4">
        <v>14.95</v>
      </c>
      <c r="G12" s="4">
        <f t="shared" si="0"/>
        <v>14.95</v>
      </c>
    </row>
    <row r="13" spans="1:7" ht="28">
      <c r="A13" s="2">
        <v>11</v>
      </c>
      <c r="B13" s="3" t="s">
        <v>23</v>
      </c>
      <c r="C13" s="3" t="s">
        <v>24</v>
      </c>
      <c r="D13" s="2">
        <v>1</v>
      </c>
      <c r="E13" s="3" t="s">
        <v>82</v>
      </c>
      <c r="F13" s="4">
        <v>11</v>
      </c>
      <c r="G13" s="4">
        <f t="shared" si="0"/>
        <v>11</v>
      </c>
    </row>
    <row r="14" spans="1:7" ht="14" customHeight="1">
      <c r="A14" s="2">
        <v>12</v>
      </c>
      <c r="B14" s="3" t="s">
        <v>25</v>
      </c>
      <c r="C14" s="3" t="s">
        <v>84</v>
      </c>
      <c r="D14" s="2">
        <v>1</v>
      </c>
      <c r="E14" s="3" t="s">
        <v>83</v>
      </c>
      <c r="F14" s="4">
        <v>14.95</v>
      </c>
      <c r="G14" s="4">
        <f t="shared" si="0"/>
        <v>14.95</v>
      </c>
    </row>
    <row r="15" spans="1:7" ht="42">
      <c r="A15" s="2">
        <v>13</v>
      </c>
      <c r="B15" s="3" t="s">
        <v>26</v>
      </c>
      <c r="C15" s="3" t="s">
        <v>27</v>
      </c>
      <c r="D15" s="2">
        <v>1</v>
      </c>
      <c r="E15" s="3" t="s">
        <v>85</v>
      </c>
      <c r="F15" s="4">
        <v>19</v>
      </c>
      <c r="G15" s="4">
        <f t="shared" si="0"/>
        <v>19</v>
      </c>
    </row>
    <row r="16" spans="1:7">
      <c r="A16" s="2">
        <v>14</v>
      </c>
      <c r="B16" s="3" t="s">
        <v>28</v>
      </c>
      <c r="C16" s="3" t="s">
        <v>29</v>
      </c>
      <c r="D16" s="2">
        <v>6</v>
      </c>
      <c r="E16" s="7" t="s">
        <v>74</v>
      </c>
      <c r="F16" s="4">
        <v>17</v>
      </c>
      <c r="G16" s="4">
        <f t="shared" si="0"/>
        <v>102</v>
      </c>
    </row>
    <row r="17" spans="1:7">
      <c r="A17" s="2">
        <v>15</v>
      </c>
      <c r="B17" s="3" t="s">
        <v>30</v>
      </c>
      <c r="C17" s="3" t="s">
        <v>31</v>
      </c>
      <c r="D17" s="2">
        <v>6</v>
      </c>
      <c r="E17" s="3" t="s">
        <v>75</v>
      </c>
      <c r="F17" s="4">
        <v>9</v>
      </c>
      <c r="G17" s="4">
        <f t="shared" si="0"/>
        <v>54</v>
      </c>
    </row>
    <row r="18" spans="1:7">
      <c r="A18" s="2">
        <v>16</v>
      </c>
      <c r="B18" s="3" t="s">
        <v>32</v>
      </c>
      <c r="C18" s="3" t="s">
        <v>33</v>
      </c>
      <c r="D18" s="2">
        <v>6</v>
      </c>
      <c r="E18" s="3" t="s">
        <v>78</v>
      </c>
      <c r="F18" s="4">
        <v>4</v>
      </c>
      <c r="G18" s="4">
        <f t="shared" si="0"/>
        <v>24</v>
      </c>
    </row>
    <row r="19" spans="1:7" ht="42">
      <c r="A19" s="2">
        <v>17</v>
      </c>
      <c r="B19" s="3" t="s">
        <v>34</v>
      </c>
      <c r="C19" s="3"/>
      <c r="D19" s="2">
        <v>6</v>
      </c>
      <c r="E19" s="7" t="s">
        <v>88</v>
      </c>
      <c r="F19" s="4">
        <v>7</v>
      </c>
      <c r="G19" s="4">
        <f t="shared" si="0"/>
        <v>42</v>
      </c>
    </row>
    <row r="20" spans="1:7">
      <c r="A20" s="2">
        <v>18</v>
      </c>
      <c r="B20" s="3" t="s">
        <v>35</v>
      </c>
      <c r="C20" s="3" t="s">
        <v>36</v>
      </c>
      <c r="D20" s="2">
        <v>4</v>
      </c>
      <c r="E20" s="7" t="s">
        <v>73</v>
      </c>
      <c r="F20" s="4">
        <v>9.5</v>
      </c>
      <c r="G20" s="4">
        <f t="shared" si="0"/>
        <v>38</v>
      </c>
    </row>
    <row r="21" spans="1:7">
      <c r="A21" s="2">
        <v>19</v>
      </c>
      <c r="B21" s="3" t="s">
        <v>35</v>
      </c>
      <c r="C21" s="3" t="s">
        <v>37</v>
      </c>
      <c r="D21" s="2">
        <v>3</v>
      </c>
      <c r="E21" s="3" t="s">
        <v>76</v>
      </c>
      <c r="F21" s="4">
        <v>4</v>
      </c>
      <c r="G21" s="4">
        <f t="shared" si="0"/>
        <v>12</v>
      </c>
    </row>
    <row r="22" spans="1:7">
      <c r="A22" s="2">
        <v>20</v>
      </c>
      <c r="B22" s="3" t="s">
        <v>38</v>
      </c>
      <c r="C22" s="3" t="s">
        <v>39</v>
      </c>
      <c r="D22" s="2">
        <v>4</v>
      </c>
      <c r="E22" s="3" t="s">
        <v>90</v>
      </c>
      <c r="F22" s="4">
        <v>11.52</v>
      </c>
      <c r="G22" s="4">
        <f t="shared" si="0"/>
        <v>46.08</v>
      </c>
    </row>
    <row r="23" spans="1:7">
      <c r="A23" s="2">
        <v>21</v>
      </c>
      <c r="B23" s="3" t="s">
        <v>40</v>
      </c>
      <c r="C23" s="3" t="s">
        <v>41</v>
      </c>
      <c r="D23" s="2">
        <v>1</v>
      </c>
      <c r="E23" s="3" t="s">
        <v>89</v>
      </c>
      <c r="F23" s="4">
        <v>3</v>
      </c>
      <c r="G23" s="4">
        <f t="shared" si="0"/>
        <v>3</v>
      </c>
    </row>
    <row r="24" spans="1:7">
      <c r="A24" s="2">
        <v>22</v>
      </c>
      <c r="B24" s="3" t="s">
        <v>42</v>
      </c>
      <c r="C24" s="3" t="s">
        <v>43</v>
      </c>
      <c r="D24" s="2">
        <v>1</v>
      </c>
      <c r="E24" s="3" t="s">
        <v>89</v>
      </c>
      <c r="F24" s="4">
        <v>1</v>
      </c>
      <c r="G24" s="4">
        <f t="shared" si="0"/>
        <v>1</v>
      </c>
    </row>
    <row r="25" spans="1:7">
      <c r="A25" s="2">
        <v>23</v>
      </c>
      <c r="B25" s="3" t="s">
        <v>44</v>
      </c>
      <c r="C25" s="3" t="s">
        <v>45</v>
      </c>
      <c r="D25" s="2">
        <v>1</v>
      </c>
      <c r="E25" s="3" t="s">
        <v>91</v>
      </c>
      <c r="F25" s="4">
        <v>21</v>
      </c>
      <c r="G25" s="4">
        <f t="shared" si="0"/>
        <v>21</v>
      </c>
    </row>
    <row r="26" spans="1:7">
      <c r="A26" s="2">
        <v>24</v>
      </c>
      <c r="B26" s="3" t="s">
        <v>46</v>
      </c>
      <c r="C26" s="3" t="s">
        <v>47</v>
      </c>
      <c r="D26" s="2">
        <v>6</v>
      </c>
      <c r="E26" s="7" t="s">
        <v>76</v>
      </c>
      <c r="F26" s="4">
        <v>3</v>
      </c>
      <c r="G26" s="4">
        <f t="shared" si="0"/>
        <v>18</v>
      </c>
    </row>
    <row r="27" spans="1:7">
      <c r="A27" s="2">
        <v>25</v>
      </c>
      <c r="B27" s="3" t="s">
        <v>48</v>
      </c>
      <c r="C27" s="3" t="s">
        <v>49</v>
      </c>
      <c r="D27" s="2">
        <v>6</v>
      </c>
      <c r="E27" s="7" t="s">
        <v>76</v>
      </c>
      <c r="F27" s="4">
        <v>3</v>
      </c>
      <c r="G27" s="4">
        <f t="shared" si="0"/>
        <v>18</v>
      </c>
    </row>
    <row r="28" spans="1:7">
      <c r="A28" s="2">
        <v>26</v>
      </c>
      <c r="B28" s="3" t="s">
        <v>50</v>
      </c>
      <c r="C28" s="3" t="s">
        <v>51</v>
      </c>
      <c r="D28" s="2">
        <v>12</v>
      </c>
      <c r="E28" s="3" t="s">
        <v>77</v>
      </c>
      <c r="F28" s="4">
        <v>1.6</v>
      </c>
      <c r="G28" s="4">
        <f t="shared" si="0"/>
        <v>19.200000000000003</v>
      </c>
    </row>
    <row r="29" spans="1:7">
      <c r="A29" s="2">
        <v>27</v>
      </c>
      <c r="B29" s="3" t="s">
        <v>52</v>
      </c>
      <c r="C29" s="3" t="s">
        <v>53</v>
      </c>
      <c r="D29" s="2">
        <v>5</v>
      </c>
      <c r="E29" s="3" t="s">
        <v>92</v>
      </c>
      <c r="F29" s="4">
        <v>12</v>
      </c>
      <c r="G29" s="4">
        <f t="shared" si="0"/>
        <v>60</v>
      </c>
    </row>
    <row r="30" spans="1:7">
      <c r="A30" s="2">
        <v>28</v>
      </c>
      <c r="B30" s="3" t="s">
        <v>54</v>
      </c>
      <c r="C30" s="3" t="s">
        <v>55</v>
      </c>
      <c r="D30" s="2">
        <v>12</v>
      </c>
      <c r="E30" s="3" t="s">
        <v>93</v>
      </c>
      <c r="F30" s="4">
        <v>7.5</v>
      </c>
      <c r="G30" s="4">
        <f t="shared" si="0"/>
        <v>90</v>
      </c>
    </row>
    <row r="31" spans="1:7">
      <c r="A31" s="2">
        <v>29</v>
      </c>
      <c r="B31" s="3" t="s">
        <v>56</v>
      </c>
      <c r="C31" s="3" t="s">
        <v>57</v>
      </c>
      <c r="D31" s="2">
        <v>1</v>
      </c>
      <c r="E31" s="7" t="s">
        <v>97</v>
      </c>
      <c r="F31" s="4">
        <v>10</v>
      </c>
      <c r="G31" s="4">
        <f t="shared" si="0"/>
        <v>10</v>
      </c>
    </row>
    <row r="32" spans="1:7" ht="42">
      <c r="A32" s="2">
        <v>30</v>
      </c>
      <c r="B32" s="3" t="s">
        <v>58</v>
      </c>
      <c r="C32" s="3" t="s">
        <v>59</v>
      </c>
      <c r="D32" s="2">
        <v>1</v>
      </c>
      <c r="E32" s="7" t="s">
        <v>98</v>
      </c>
      <c r="F32" s="4">
        <v>9</v>
      </c>
      <c r="G32" s="4">
        <f t="shared" si="0"/>
        <v>9</v>
      </c>
    </row>
    <row r="33" spans="1:7">
      <c r="A33" s="2">
        <v>31</v>
      </c>
      <c r="B33" s="3" t="s">
        <v>56</v>
      </c>
      <c r="C33" s="3" t="s">
        <v>60</v>
      </c>
      <c r="D33" s="2">
        <v>1</v>
      </c>
      <c r="E33" s="3" t="s">
        <v>94</v>
      </c>
      <c r="F33" s="4">
        <v>20</v>
      </c>
      <c r="G33" s="4">
        <f t="shared" si="0"/>
        <v>20</v>
      </c>
    </row>
    <row r="34" spans="1:7">
      <c r="A34" s="2">
        <v>32</v>
      </c>
      <c r="B34" s="3" t="s">
        <v>58</v>
      </c>
      <c r="C34" s="3" t="s">
        <v>61</v>
      </c>
      <c r="D34" s="2">
        <v>1</v>
      </c>
      <c r="E34" s="3" t="s">
        <v>95</v>
      </c>
      <c r="F34" s="4">
        <v>15</v>
      </c>
      <c r="G34" s="4">
        <f t="shared" si="0"/>
        <v>15</v>
      </c>
    </row>
    <row r="35" spans="1:7">
      <c r="A35" s="2">
        <v>33</v>
      </c>
      <c r="B35" s="3" t="s">
        <v>56</v>
      </c>
      <c r="C35" s="3" t="s">
        <v>62</v>
      </c>
      <c r="D35" s="2">
        <v>1</v>
      </c>
      <c r="E35" s="3" t="s">
        <v>96</v>
      </c>
      <c r="F35" s="4">
        <v>10</v>
      </c>
      <c r="G35" s="4">
        <f t="shared" si="0"/>
        <v>10</v>
      </c>
    </row>
    <row r="36" spans="1:7" ht="28">
      <c r="A36" s="2">
        <v>34</v>
      </c>
      <c r="B36" s="3" t="s">
        <v>64</v>
      </c>
      <c r="C36" s="3" t="s">
        <v>70</v>
      </c>
      <c r="D36" s="2">
        <v>1</v>
      </c>
      <c r="E36" s="7" t="s">
        <v>69</v>
      </c>
      <c r="F36" s="4">
        <v>15</v>
      </c>
      <c r="G36" s="4">
        <f t="shared" ref="G36" si="1">D36*F36</f>
        <v>15</v>
      </c>
    </row>
    <row r="37" spans="1:7">
      <c r="A37" s="2">
        <v>35</v>
      </c>
      <c r="B37" s="3" t="s">
        <v>65</v>
      </c>
      <c r="C37" s="3" t="s">
        <v>67</v>
      </c>
      <c r="D37" s="2">
        <v>2</v>
      </c>
      <c r="E37" s="3" t="s">
        <v>68</v>
      </c>
      <c r="F37" s="4">
        <v>17</v>
      </c>
      <c r="G37" s="4">
        <f t="shared" ref="G37:G40" si="2">D37*F37</f>
        <v>34</v>
      </c>
    </row>
    <row r="38" spans="1:7">
      <c r="A38" s="2">
        <v>36</v>
      </c>
      <c r="B38" s="3" t="s">
        <v>66</v>
      </c>
      <c r="C38" s="3" t="s">
        <v>72</v>
      </c>
      <c r="D38" s="2">
        <v>1</v>
      </c>
      <c r="E38" s="3" t="s">
        <v>71</v>
      </c>
      <c r="F38" s="4">
        <v>21</v>
      </c>
      <c r="G38" s="4">
        <f t="shared" si="2"/>
        <v>21</v>
      </c>
    </row>
    <row r="39" spans="1:7">
      <c r="A39" s="2">
        <v>37</v>
      </c>
      <c r="B39" s="3"/>
      <c r="C39" s="3"/>
      <c r="D39" s="2"/>
      <c r="E39" s="3"/>
      <c r="F39" s="4"/>
      <c r="G39" s="4">
        <f t="shared" si="2"/>
        <v>0</v>
      </c>
    </row>
    <row r="40" spans="1:7">
      <c r="A40" s="2">
        <v>38</v>
      </c>
      <c r="B40" s="3"/>
      <c r="C40" s="3"/>
      <c r="D40" s="2"/>
      <c r="E40" s="3"/>
      <c r="F40" s="4"/>
      <c r="G40" s="4">
        <f t="shared" si="2"/>
        <v>0</v>
      </c>
    </row>
    <row r="42" spans="1:7">
      <c r="A42" s="3"/>
      <c r="B42" s="3"/>
      <c r="C42" s="3"/>
      <c r="D42" s="3"/>
      <c r="E42" s="3"/>
      <c r="F42" s="5" t="s">
        <v>63</v>
      </c>
      <c r="G42" s="5">
        <f>SUM(G3:G35)</f>
        <v>1296.5500000000002</v>
      </c>
    </row>
  </sheetData>
  <mergeCells count="1">
    <mergeCell ref="A1:G1"/>
  </mergeCells>
  <hyperlinks>
    <hyperlink ref="E36" r:id="rId1" xr:uid="{AC46A7DF-D799-4FD3-9105-880B94FEC8A9}"/>
    <hyperlink ref="E20" r:id="rId2" xr:uid="{09BC7F9F-6D1C-4AE4-BE95-CEC9A7D79B51}"/>
    <hyperlink ref="E16" r:id="rId3" xr:uid="{D7B9D7C3-0418-42F5-A227-185E33D15D09}"/>
    <hyperlink ref="E26" r:id="rId4" xr:uid="{E1C5A118-7E10-4009-8960-30D85712FC70}"/>
    <hyperlink ref="E27" r:id="rId5" xr:uid="{3A8A70BE-8C8D-46D3-989E-55E59B15F8F6}"/>
    <hyperlink ref="E19" r:id="rId6" xr:uid="{66EA2063-58D9-4F46-AA14-CA29E6D86DA3}"/>
    <hyperlink ref="E31" r:id="rId7" xr:uid="{F9D7410E-EBC5-4AE4-AE34-7B45455832BF}"/>
    <hyperlink ref="E32" r:id="rId8" xr:uid="{80F09753-719E-4189-A617-2F9C8D2CDDFA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Ravenous Hydra</dc:creator>
  <cp:lastModifiedBy>Ravenous Hydra</cp:lastModifiedBy>
  <dcterms:created xsi:type="dcterms:W3CDTF">2026-07-10T17:29:46Z</dcterms:created>
  <dcterms:modified xsi:type="dcterms:W3CDTF">2026-07-10T17:29:46Z</dcterms:modified>
</cp:coreProperties>
</file>